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21ac5e1bc43c90/Documents/"/>
    </mc:Choice>
  </mc:AlternateContent>
  <xr:revisionPtr revIDLastSave="0" documentId="8_{E05DEB56-B07D-434C-8270-2A99FCCDB8D2}" xr6:coauthVersionLast="47" xr6:coauthVersionMax="47" xr10:uidLastSave="{00000000-0000-0000-0000-000000000000}"/>
  <bookViews>
    <workbookView xWindow="11424" yWindow="0" windowWidth="11712" windowHeight="12336" xr2:uid="{84D405C1-92A8-425B-8A89-55EC1708C944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I7" i="1"/>
  <c r="J5" i="1"/>
  <c r="J3" i="1"/>
  <c r="J4" i="1"/>
  <c r="J6" i="1"/>
  <c r="J2" i="1"/>
  <c r="I5" i="1"/>
  <c r="I4" i="1"/>
  <c r="I6" i="1"/>
  <c r="I3" i="1"/>
  <c r="I2" i="1"/>
  <c r="H5" i="1"/>
  <c r="H4" i="1"/>
  <c r="H3" i="1"/>
  <c r="H2" i="1"/>
  <c r="H6" i="1"/>
</calcChain>
</file>

<file path=xl/sharedStrings.xml><?xml version="1.0" encoding="utf-8"?>
<sst xmlns="http://schemas.openxmlformats.org/spreadsheetml/2006/main" count="26" uniqueCount="26">
  <si>
    <t>DATE</t>
  </si>
  <si>
    <t>COUNTRY</t>
  </si>
  <si>
    <t>STATE</t>
  </si>
  <si>
    <t>PRODUCT</t>
  </si>
  <si>
    <t>ORDER_QUANTITY</t>
  </si>
  <si>
    <t>UNIT_COST</t>
  </si>
  <si>
    <t>UNIT_PRICE</t>
  </si>
  <si>
    <t>TOTAL_COST</t>
  </si>
  <si>
    <t>REVENUE</t>
  </si>
  <si>
    <t>PROFIT</t>
  </si>
  <si>
    <t>US</t>
  </si>
  <si>
    <t>PAKISTAN</t>
  </si>
  <si>
    <t>INDIA</t>
  </si>
  <si>
    <t>KOREA</t>
  </si>
  <si>
    <t>IRAN</t>
  </si>
  <si>
    <t>NEW YORK</t>
  </si>
  <si>
    <t>KARACHI</t>
  </si>
  <si>
    <t>MUMBAI</t>
  </si>
  <si>
    <t>SEOUL</t>
  </si>
  <si>
    <t>TEHRAN</t>
  </si>
  <si>
    <t>Mountain-200 Black</t>
  </si>
  <si>
    <t>Road-750 Black</t>
  </si>
  <si>
    <t>Road-550-W Yellow</t>
  </si>
  <si>
    <t>Road-250 Red</t>
  </si>
  <si>
    <t>Road-150 Red</t>
  </si>
  <si>
    <t>Total=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</si>
</sst>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s&quot;* #,##0.00_-;\-&quot;Rs&quot;* #,##0.00_-;_-&quot;Rs&quot;* &quot;-&quot;??_-;_-@_-"/>
    <numFmt numFmtId="165" formatCode="_-[$$-409]* #,##0.00_ ;_-[$$-409]* \-#,##0.00\ ;_-[$$-409]* &quot;-&quot;??_ ;_-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 vertical="center"/>
    </xf>
    <xf numFmtId="165" fontId="0" fillId="0" borderId="0" xfId="0" applyNumberFormat="1"/>
    <xf numFmtId="165" fontId="0" fillId="0" borderId="0" xfId="1" applyNumberFormat="1" applyFont="1"/>
    <xf numFmtId="10" fontId="2" fillId="0" borderId="0" xfId="0" applyNumberFormat="1" applyFont="1"/>
    <xf numFmtId="165" fontId="3" fillId="0" borderId="0" xfId="1" applyNumberFormat="1" applyFont="1"/>
    <xf numFmtId="165" fontId="3" fillId="0" borderId="0" xfId="0" applyNumberFormat="1" applyFont="1"/>
    <xf numFmtId="165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AADE-DCBF-439B-9E70-910B3F2ED4E1}">
  <dimension ref="A1:J7"/>
  <sheetViews>
    <sheetView tabSelected="1" topLeftCell="D1" zoomScale="102" workbookViewId="0">
      <selection activeCell="H7" sqref="H7:J7"/>
    </sheetView>
  </sheetViews>
  <sheetFormatPr defaultRowHeight="14.4" x14ac:dyDescent="0.3"/>
  <cols>
    <col min="1" max="1" width="13" customWidth="1"/>
    <col min="2" max="2" width="13.33203125" customWidth="1"/>
    <col min="3" max="3" width="10.109375" customWidth="1"/>
    <col min="4" max="4" width="19.109375" customWidth="1"/>
    <col min="5" max="5" width="16.44140625" customWidth="1"/>
    <col min="6" max="7" width="12.88671875" customWidth="1"/>
    <col min="8" max="8" width="11.88671875" customWidth="1"/>
    <col min="9" max="9" width="13.109375" customWidth="1"/>
    <col min="10" max="10" width="13.777343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46034</v>
      </c>
      <c r="B2" t="s">
        <v>10</v>
      </c>
      <c r="C2" t="s">
        <v>15</v>
      </c>
      <c r="D2" t="s">
        <v>20</v>
      </c>
      <c r="E2">
        <v>4</v>
      </c>
      <c r="F2" s="3">
        <v>1252</v>
      </c>
      <c r="G2" s="3">
        <v>2295</v>
      </c>
      <c r="H2" s="3">
        <f>SUM(F2:G2)</f>
        <v>3547</v>
      </c>
      <c r="I2" s="4">
        <f>E2*G2</f>
        <v>9180</v>
      </c>
      <c r="J2" s="3">
        <f>(E2*G2)-H2</f>
        <v>5633</v>
      </c>
    </row>
    <row r="3" spans="1:10" x14ac:dyDescent="0.3">
      <c r="A3" s="1">
        <v>46155</v>
      </c>
      <c r="B3" t="s">
        <v>11</v>
      </c>
      <c r="C3" t="s">
        <v>16</v>
      </c>
      <c r="D3" t="s">
        <v>21</v>
      </c>
      <c r="E3">
        <v>3</v>
      </c>
      <c r="F3" s="3">
        <v>334</v>
      </c>
      <c r="G3" s="3">
        <v>540</v>
      </c>
      <c r="H3" s="3">
        <f>SUM(F3:G3)</f>
        <v>874</v>
      </c>
      <c r="I3" s="4">
        <f t="shared" ref="I3:I6" si="0">E3*G3</f>
        <v>1620</v>
      </c>
      <c r="J3" s="3">
        <f t="shared" ref="J3:J6" si="1">(E3*G3)-H3</f>
        <v>746</v>
      </c>
    </row>
    <row r="4" spans="1:10" x14ac:dyDescent="0.3">
      <c r="A4" s="1">
        <v>46083</v>
      </c>
      <c r="B4" t="s">
        <v>12</v>
      </c>
      <c r="C4" t="s">
        <v>17</v>
      </c>
      <c r="D4" t="s">
        <v>22</v>
      </c>
      <c r="E4">
        <v>2</v>
      </c>
      <c r="F4" s="3">
        <v>613</v>
      </c>
      <c r="G4" s="3">
        <v>1120</v>
      </c>
      <c r="H4" s="3">
        <f>SUM(F4:G4)</f>
        <v>1733</v>
      </c>
      <c r="I4" s="4">
        <f>E4*G4</f>
        <v>2240</v>
      </c>
      <c r="J4" s="3">
        <f t="shared" si="1"/>
        <v>507</v>
      </c>
    </row>
    <row r="5" spans="1:10" x14ac:dyDescent="0.3">
      <c r="A5" s="1">
        <v>46254</v>
      </c>
      <c r="B5" t="s">
        <v>13</v>
      </c>
      <c r="C5" t="s">
        <v>18</v>
      </c>
      <c r="D5" t="s">
        <v>23</v>
      </c>
      <c r="E5">
        <v>5</v>
      </c>
      <c r="F5" s="3">
        <v>15555</v>
      </c>
      <c r="G5" s="3">
        <v>2443</v>
      </c>
      <c r="H5" s="3">
        <f>SUM(F5:G5)</f>
        <v>17998</v>
      </c>
      <c r="I5" s="4">
        <f>E5*G5</f>
        <v>12215</v>
      </c>
      <c r="J5" s="3">
        <f>(E5*G5)-H5</f>
        <v>-5783</v>
      </c>
    </row>
    <row r="6" spans="1:10" ht="16.2" x14ac:dyDescent="0.45">
      <c r="A6" s="1">
        <v>46387</v>
      </c>
      <c r="B6" t="s">
        <v>14</v>
      </c>
      <c r="C6" t="s">
        <v>19</v>
      </c>
      <c r="D6" t="s">
        <v>24</v>
      </c>
      <c r="E6">
        <v>8</v>
      </c>
      <c r="F6" s="3">
        <v>2171</v>
      </c>
      <c r="G6" s="3">
        <v>3578</v>
      </c>
      <c r="H6" s="3">
        <f>SUM(E6:G6)</f>
        <v>5757</v>
      </c>
      <c r="I6" s="6">
        <f>E6*G6</f>
        <v>28624</v>
      </c>
      <c r="J6" s="7">
        <f t="shared" si="1"/>
        <v>22867</v>
      </c>
    </row>
    <row r="7" spans="1:10" x14ac:dyDescent="0.3">
      <c r="H7" s="5" t="s">
        <v>25</v>
      </c>
      <c r="I7" s="8">
        <f>SUM(I2:I6)</f>
        <v>53879</v>
      </c>
      <c r="J7" s="8">
        <f>SUM(J2:J6)</f>
        <v>23970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Syeda Maliha Amir</dc:creator>
  <cp:lastModifiedBy>Syeda Maliha Amir</cp:lastModifiedBy>
  <dcterms:created xsi:type="dcterms:W3CDTF">2026-04-04T23:52:15Z</dcterms:created>
  <dcterms:modified xsi:type="dcterms:W3CDTF">2026-04-05T00:37:47Z</dcterms:modified>
</cp:coreProperties>
</file>